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Check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<sst xmlns="http://schemas.openxmlformats.org/spreadsheetml/2006/main" count="161" uniqueCount="111">
  <si>
    <t xml:space="preserve">JJM HRMS — HR Testing Checklist</t>
  </si>
  <si>
    <t xml:space="preserve">Fill the 'Checklist' tab. This page adds up your answers automatically.</t>
  </si>
  <si>
    <t xml:space="preserve">Tester name:</t>
  </si>
  <si>
    <t xml:space="preserve">Date:</t>
  </si>
  <si>
    <t xml:space="preserve">How to fill it in:</t>
  </si>
  <si>
    <t xml:space="preserve">1. Go to the 'Checklist' tab.</t>
  </si>
  <si>
    <t xml:space="preserve">2. Try each item using the 'How to check it' note.</t>
  </si>
  <si>
    <t xml:space="preserve">3. In 'Working?' pick: Yes / No / Partly / Not checked.</t>
  </si>
  <si>
    <t xml:space="preserve">4. Write anything that needs fixing in 'Remarks'.</t>
  </si>
  <si>
    <t xml:space="preserve">Section</t>
  </si>
  <si>
    <t xml:space="preserve">Items</t>
  </si>
  <si>
    <t xml:space="preserve">Working</t>
  </si>
  <si>
    <t xml:space="preserve">Not working</t>
  </si>
  <si>
    <t xml:space="preserve">Partly</t>
  </si>
  <si>
    <t xml:space="preserve">Not checked</t>
  </si>
  <si>
    <t xml:space="preserve">Login &amp; Account</t>
  </si>
  <si>
    <t xml:space="preserve">Dashboard</t>
  </si>
  <si>
    <t xml:space="preserve">Employees</t>
  </si>
  <si>
    <t xml:space="preserve">Attendance</t>
  </si>
  <si>
    <t xml:space="preserve">Leave</t>
  </si>
  <si>
    <t xml:space="preserve">Payroll (Salary)</t>
  </si>
  <si>
    <t xml:space="preserve">Documents</t>
  </si>
  <si>
    <t xml:space="preserve">Transfers</t>
  </si>
  <si>
    <t xml:space="preserve">Reports</t>
  </si>
  <si>
    <t xml:space="preserve">Policy</t>
  </si>
  <si>
    <t xml:space="preserve">Signatures</t>
  </si>
  <si>
    <t xml:space="preserve">TOTAL</t>
  </si>
  <si>
    <t xml:space="preserve">#</t>
  </si>
  <si>
    <t xml:space="preserve">What you can do</t>
  </si>
  <si>
    <t xml:space="preserve">How to check it</t>
  </si>
  <si>
    <t xml:space="preserve">Working?</t>
  </si>
  <si>
    <t xml:space="preserve">Remarks / What needs fixing</t>
  </si>
  <si>
    <t xml:space="preserve">Login details for testing</t>
  </si>
  <si>
    <t xml:space="preserve">Log in</t>
  </si>
  <si>
    <t xml:space="preserve">Open the app and log in with your HR username and password.</t>
  </si>
  <si>
    <t xml:space="preserve">User</t>
  </si>
  <si>
    <t xml:space="preserve">username</t>
  </si>
  <si>
    <t xml:space="preserve">password</t>
  </si>
  <si>
    <t xml:space="preserve">type</t>
  </si>
  <si>
    <t xml:space="preserve">Change your password</t>
  </si>
  <si>
    <t xml:space="preserve">Click 'Change Password' at the top, set a new one, save.</t>
  </si>
  <si>
    <t xml:space="preserve">HR</t>
  </si>
  <si>
    <t xml:space="preserve">hr.kangkana@jjmbrain.in</t>
  </si>
  <si>
    <t xml:space="preserve">jjm@123</t>
  </si>
  <si>
    <t xml:space="preserve">Dark / light mode</t>
  </si>
  <si>
    <t xml:space="preserve">Click the moon/sun button to switch the look. Reload — it should stay.</t>
  </si>
  <si>
    <t xml:space="preserve">SPO (FM)</t>
  </si>
  <si>
    <t xml:space="preserve">spo-fm@jjmbrain.in</t>
  </si>
  <si>
    <t xml:space="preserve">Approver</t>
  </si>
  <si>
    <t xml:space="preserve">Log out</t>
  </si>
  <si>
    <t xml:space="preserve">Click Logout — it should take you back to the login page.</t>
  </si>
  <si>
    <t xml:space="preserve">Deputy MD</t>
  </si>
  <si>
    <t xml:space="preserve">deputy-md@jjmbrain.in</t>
  </si>
  <si>
    <t xml:space="preserve">FA (Financial Advisor)</t>
  </si>
  <si>
    <t xml:space="preserve">fa@jjmbrain.in</t>
  </si>
  <si>
    <t xml:space="preserve">See the summary</t>
  </si>
  <si>
    <t xml:space="preserve">Open the Dashboard. The numbers (staff, pending items) should look correct.</t>
  </si>
  <si>
    <t xml:space="preserve">Addl. Chief Engineer</t>
  </si>
  <si>
    <t xml:space="preserve">addt-chief-eng@jjmbrain.in</t>
  </si>
  <si>
    <t xml:space="preserve">Open items from dashboard</t>
  </si>
  <si>
    <t xml:space="preserve">Click a card/number — it should take you to the right page.</t>
  </si>
  <si>
    <t xml:space="preserve">Addl. MD</t>
  </si>
  <si>
    <t xml:space="preserve">addt-md@jjmbrain.in</t>
  </si>
  <si>
    <t xml:space="preserve">MD</t>
  </si>
  <si>
    <t xml:space="preserve">md@jjmbrain.in</t>
  </si>
  <si>
    <t xml:space="preserve">See the employee list</t>
  </si>
  <si>
    <t xml:space="preserve">Open Employees. All staff should be listed with office and designation.</t>
  </si>
  <si>
    <t xml:space="preserve">Employee</t>
  </si>
  <si>
    <t xml:space="preserve">pick any from the hrms employee list</t>
  </si>
  <si>
    <t xml:space="preserve">Search an employee</t>
  </si>
  <si>
    <t xml:space="preserve">Type a name in the search box — the right person should show.</t>
  </si>
  <si>
    <t xml:space="preserve">Add a new employee</t>
  </si>
  <si>
    <t xml:space="preserve">Click Add, fill the details, save. The new person appears in the list.</t>
  </si>
  <si>
    <t xml:space="preserve">Open an employee's details</t>
  </si>
  <si>
    <t xml:space="preserve">Click a name — full profile, salary and bank details should show.</t>
  </si>
  <si>
    <t xml:space="preserve">Edit an employee</t>
  </si>
  <si>
    <t xml:space="preserve">Open an employee, change something, save. The change should stick.</t>
  </si>
  <si>
    <t xml:space="preserve">Open attendance</t>
  </si>
  <si>
    <t xml:space="preserve">Open the Attendance page — it should load without error.</t>
  </si>
  <si>
    <t xml:space="preserve">See leave requests</t>
  </si>
  <si>
    <t xml:space="preserve">Open Leave. Pending and past requests should be listed.</t>
  </si>
  <si>
    <t xml:space="preserve">Approve a leave</t>
  </si>
  <si>
    <t xml:space="preserve">Approve a request — the staff member should see it approved.</t>
  </si>
  <si>
    <t xml:space="preserve">Reject a leave</t>
  </si>
  <si>
    <t xml:space="preserve">Reject a request — status should update.</t>
  </si>
  <si>
    <t xml:space="preserve">Check leave balance</t>
  </si>
  <si>
    <t xml:space="preserve">Look at a staff member's paid-leave balance — it should look right (2 days per month).</t>
  </si>
  <si>
    <t xml:space="preserve">Print a leave application</t>
  </si>
  <si>
    <t xml:space="preserve">Open a leave and print it / save as PDF. It should look neat and formal.</t>
  </si>
  <si>
    <t xml:space="preserve">Open payroll</t>
  </si>
  <si>
    <t xml:space="preserve">Open the Payroll page — the month/office options should show.</t>
  </si>
  <si>
    <t xml:space="preserve">Choose offices &amp; staff</t>
  </si>
  <si>
    <t xml:space="preserve">Tick the offices, streams and staff category you want to pay.</t>
  </si>
  <si>
    <t xml:space="preserve">Generate salary for a month</t>
  </si>
  <si>
    <t xml:space="preserve">Pick the month and generate. The right employees should be included.</t>
  </si>
  <si>
    <t xml:space="preserve">It remembers your choice</t>
  </si>
  <si>
    <t xml:space="preserve">Open payroll again — your last selection should be pre-ticked.</t>
  </si>
  <si>
    <t xml:space="preserve">Open a generated salary batch</t>
  </si>
  <si>
    <t xml:space="preserve">Open the batch — each employee with salary, deductions and net pay.</t>
  </si>
  <si>
    <t xml:space="preserve">Adjust an employee's amount</t>
  </si>
  <si>
    <t xml:space="preserve">Add or change an amount for one employee — the total should update.</t>
  </si>
  <si>
    <t xml:space="preserve">Print a payslip</t>
  </si>
  <si>
    <t xml:space="preserve">Print an employee's payslip / save as PDF — it should look correct.</t>
  </si>
  <si>
    <t xml:space="preserve">Send for approval</t>
  </si>
  <si>
    <t xml:space="preserve">Send the salary batch for approval and follow it through the approvers.</t>
  </si>
  <si>
    <t xml:space="preserve">Open documents</t>
  </si>
  <si>
    <t xml:space="preserve">Open the Documents page — it should load.</t>
  </si>
  <si>
    <t xml:space="preserve">Upload / download a document</t>
  </si>
  <si>
    <t xml:space="preserve">Try uploading and downloading a file.</t>
  </si>
  <si>
    <t xml:space="preserve">Open policy</t>
  </si>
  <si>
    <t xml:space="preserve">Open the Policy page — the content should show.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</si>
</sst>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2E549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2E5496"/>
        <bgColor rgb="FF2A6099"/>
      </patternFill>
    </fill>
    <fill>
      <patternFill patternType="solid">
        <fgColor rgb="FF1F3864"/>
        <bgColor rgb="FF333333"/>
      </patternFill>
    </fill>
    <fill>
      <patternFill patternType="solid">
        <fgColor rgb="FF2A6099"/>
        <bgColor rgb="FF2E5496"/>
      </patternFill>
    </fill>
    <fill>
      <patternFill patternType="solid">
        <fgColor rgb="FFB8FCCD"/>
        <bgColor rgb="FFC6EF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7F7F7F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7F7F7F"/>
      <rgbColor rgb="FF9999FF"/>
      <rgbColor rgb="FF993366"/>
      <rgbColor rgb="FFF2F2F2"/>
      <rgbColor rgb="FFC6EFCE"/>
      <rgbColor rgb="FF660066"/>
      <rgbColor rgb="FFFF8080"/>
      <rgbColor rgb="FF2A6099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8FCCD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6"/>
  <sheetViews>
    <sheetView showFormulas="false" showGridLines="false" showRowColHeaders="true" showZeros="true" rightToLeft="false" tabSelected="false" showOutlineSymbols="true" defaultGridColor="true" view="normal" topLeftCell="A12" colorId="64" zoomScale="55" zoomScaleNormal="55" zoomScalePageLayoutView="100" workbookViewId="0">
      <selection pane="topLeft" activeCell="A1" activeCellId="0" sqref="A1"/>
    </sheetView>
  </sheetViews>
  <sheetFormatPr defaultColWidth="8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9"/>
    <col collapsed="false" customWidth="true" hidden="false" outlineLevel="0" max="4" min="4" style="1" width="10"/>
    <col collapsed="false" customWidth="true" hidden="false" outlineLevel="0" max="5" min="5" style="1" width="13"/>
    <col collapsed="false" customWidth="true" hidden="false" outlineLevel="0" max="6" min="6" style="1" width="8"/>
    <col collapsed="false" customWidth="true" hidden="false" outlineLevel="0" max="7" min="7" style="1" width="12"/>
  </cols>
  <sheetData>
    <row r="2" customFormat="false" ht="55.5" hidden="false" customHeight="true" outlineLevel="0" collapsed="false">
      <c r="B2" s="2" t="s">
        <v>0</v>
      </c>
    </row>
    <row r="3" customFormat="false" ht="34.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5"/>
      <c r="D5" s="5"/>
    </row>
    <row r="6" customFormat="false" ht="15" hidden="false" customHeight="true" outlineLevel="0" collapsed="false">
      <c r="B6" s="4" t="s">
        <v>3</v>
      </c>
      <c r="C6" s="5"/>
      <c r="D6" s="5"/>
    </row>
    <row r="8" customFormat="false" ht="15" hidden="false" customHeight="true" outlineLevel="0" collapsed="false">
      <c r="B8" s="6" t="s">
        <v>4</v>
      </c>
    </row>
    <row r="9" customFormat="false" ht="15" hidden="false" customHeight="true" outlineLevel="0" collapsed="false">
      <c r="B9" s="7" t="s">
        <v>5</v>
      </c>
    </row>
    <row r="10" customFormat="false" ht="15" hidden="false" customHeight="true" outlineLevel="0" collapsed="false">
      <c r="B10" s="7" t="s">
        <v>6</v>
      </c>
    </row>
    <row r="11" customFormat="false" ht="15" hidden="false" customHeight="true" outlineLevel="0" collapsed="false">
      <c r="B11" s="7" t="s">
        <v>7</v>
      </c>
    </row>
    <row r="12" customFormat="false" ht="15" hidden="false" customHeight="true" outlineLevel="0" collapsed="false">
      <c r="B12" s="7" t="s">
        <v>8</v>
      </c>
    </row>
    <row r="14" customFormat="false" ht="24" hidden="false" customHeight="true" outlineLevel="0" collapsed="false">
      <c r="B14" s="8" t="s">
        <v>9</v>
      </c>
      <c r="C14" s="8" t="s">
        <v>10</v>
      </c>
      <c r="D14" s="8" t="s">
        <v>11</v>
      </c>
      <c r="E14" s="8" t="s">
        <v>12</v>
      </c>
      <c r="F14" s="8" t="s">
        <v>13</v>
      </c>
      <c r="G14" s="8" t="s">
        <v>14</v>
      </c>
    </row>
    <row r="15" customFormat="false" ht="15" hidden="false" customHeight="true" outlineLevel="0" collapsed="false">
      <c r="B15" s="9" t="s">
        <v>15</v>
      </c>
      <c r="C15" s="10" t="n">
        <v>4</v>
      </c>
      <c r="D15" s="10" t="n">
        <f aca="false">COUNTIF(Checklist!$D$3:$D$6,"Yes")</f>
        <v>0</v>
      </c>
      <c r="E15" s="10" t="n">
        <f aca="false">COUNTIF(Checklist!$D$3:$D$6,"No")</f>
        <v>0</v>
      </c>
      <c r="F15" s="10" t="n">
        <f aca="false">COUNTIF(Checklist!$D$3:$D$6,"Partly")</f>
        <v>0</v>
      </c>
      <c r="G15" s="10" t="n">
        <f aca="false">COUNTIF(Checklist!$D$3:$D$6,"Not checked")</f>
        <v>4</v>
      </c>
    </row>
    <row r="16" customFormat="false" ht="15" hidden="false" customHeight="true" outlineLevel="0" collapsed="false">
      <c r="B16" s="9" t="s">
        <v>16</v>
      </c>
      <c r="C16" s="10" t="n">
        <v>2</v>
      </c>
      <c r="D16" s="10" t="n">
        <f aca="false">COUNTIF(Checklist!$D$8:$D$9,"Yes")</f>
        <v>0</v>
      </c>
      <c r="E16" s="10" t="n">
        <f aca="false">COUNTIF(Checklist!$D$8:$D$9,"No")</f>
        <v>0</v>
      </c>
      <c r="F16" s="10" t="n">
        <f aca="false">COUNTIF(Checklist!$D$8:$D$9,"Partly")</f>
        <v>0</v>
      </c>
      <c r="G16" s="10" t="n">
        <f aca="false">COUNTIF(Checklist!$D$8:$D$9,"Not checked")</f>
        <v>2</v>
      </c>
    </row>
    <row r="17" customFormat="false" ht="15" hidden="false" customHeight="true" outlineLevel="0" collapsed="false">
      <c r="B17" s="9" t="s">
        <v>17</v>
      </c>
      <c r="C17" s="10" t="n">
        <v>5</v>
      </c>
      <c r="D17" s="10" t="n">
        <f aca="false">COUNTIF(Checklist!$D$11:$D$15,"Yes")</f>
        <v>0</v>
      </c>
      <c r="E17" s="10" t="n">
        <f aca="false">COUNTIF(Checklist!$D$11:$D$15,"No")</f>
        <v>0</v>
      </c>
      <c r="F17" s="10" t="n">
        <f aca="false">COUNTIF(Checklist!$D$11:$D$15,"Partly")</f>
        <v>0</v>
      </c>
      <c r="G17" s="10" t="n">
        <f aca="false">COUNTIF(Checklist!$D$11:$D$15,"Not checked")</f>
        <v>5</v>
      </c>
    </row>
    <row r="18" customFormat="false" ht="15" hidden="false" customHeight="true" outlineLevel="0" collapsed="false">
      <c r="B18" s="9" t="s">
        <v>18</v>
      </c>
      <c r="C18" s="10" t="n">
        <v>2</v>
      </c>
      <c r="D18" s="10" t="n">
        <f aca="false">COUNTIF(Checklist!$D$17:$D$18,"Yes")</f>
        <v>0</v>
      </c>
      <c r="E18" s="10" t="n">
        <f aca="false">COUNTIF(Checklist!$D$17:$D$18,"No")</f>
        <v>0</v>
      </c>
      <c r="F18" s="10" t="n">
        <f aca="false">COUNTIF(Checklist!$D$17:$D$18,"Partly")</f>
        <v>0</v>
      </c>
      <c r="G18" s="10" t="n">
        <f aca="false">COUNTIF(Checklist!$D$17:$D$18,"Not checked")</f>
        <v>1</v>
      </c>
    </row>
    <row r="19" customFormat="false" ht="15" hidden="false" customHeight="true" outlineLevel="0" collapsed="false">
      <c r="B19" s="9" t="s">
        <v>19</v>
      </c>
      <c r="C19" s="10" t="n">
        <v>5</v>
      </c>
      <c r="D19" s="10" t="n">
        <f aca="false">COUNTIF(Checklist!$D$20:$D$24,"Yes")</f>
        <v>0</v>
      </c>
      <c r="E19" s="10" t="n">
        <f aca="false">COUNTIF(Checklist!$D$20:$D$24,"No")</f>
        <v>0</v>
      </c>
      <c r="F19" s="10" t="n">
        <f aca="false">COUNTIF(Checklist!$D$20:$D$24,"Partly")</f>
        <v>0</v>
      </c>
      <c r="G19" s="10" t="n">
        <f aca="false">COUNTIF(Checklist!$D$20:$D$24,"Not checked")</f>
        <v>5</v>
      </c>
    </row>
    <row r="20" customFormat="false" ht="15" hidden="false" customHeight="true" outlineLevel="0" collapsed="false">
      <c r="B20" s="9" t="s">
        <v>20</v>
      </c>
      <c r="C20" s="10" t="n">
        <v>8</v>
      </c>
      <c r="D20" s="10" t="n">
        <f aca="false">COUNTIF(Checklist!$D$26:$D$33,"Yes")</f>
        <v>0</v>
      </c>
      <c r="E20" s="10" t="n">
        <f aca="false">COUNTIF(Checklist!$D$26:$D$33,"No")</f>
        <v>0</v>
      </c>
      <c r="F20" s="10" t="n">
        <f aca="false">COUNTIF(Checklist!$D$26:$D$33,"Partly")</f>
        <v>0</v>
      </c>
      <c r="G20" s="10" t="n">
        <f aca="false">COUNTIF(Checklist!$D$26:$D$33,"Not checked")</f>
        <v>8</v>
      </c>
    </row>
    <row r="21" customFormat="false" ht="15" hidden="false" customHeight="true" outlineLevel="0" collapsed="false">
      <c r="B21" s="9" t="s">
        <v>21</v>
      </c>
      <c r="C21" s="10" t="n">
        <v>2</v>
      </c>
      <c r="D21" s="10" t="n">
        <f aca="false">COUNTIF(Checklist!$D$35:$D$36,"Yes")</f>
        <v>0</v>
      </c>
      <c r="E21" s="10" t="n">
        <f aca="false">COUNTIF(Checklist!$D$35:$D$36,"No")</f>
        <v>0</v>
      </c>
      <c r="F21" s="10" t="n">
        <f aca="false">COUNTIF(Checklist!$D$35:$D$36,"Partly")</f>
        <v>0</v>
      </c>
      <c r="G21" s="10" t="n">
        <f aca="false">COUNTIF(Checklist!$D$35:$D$36,"Not checked")</f>
        <v>2</v>
      </c>
    </row>
    <row r="22" customFormat="false" ht="15" hidden="false" customHeight="true" outlineLevel="0" collapsed="false">
      <c r="B22" s="9" t="s">
        <v>22</v>
      </c>
      <c r="C22" s="10" t="n">
        <v>2</v>
      </c>
      <c r="D22" s="10" t="n">
        <f aca="false">COUNTIF(Checklist!$D$38:$D$39,"Yes")</f>
        <v>0</v>
      </c>
      <c r="E22" s="10" t="n">
        <f aca="false">COUNTIF(Checklist!$D$38:$D$39,"No")</f>
        <v>0</v>
      </c>
      <c r="F22" s="10" t="n">
        <f aca="false">COUNTIF(Checklist!$D$38:$D$39,"Partly")</f>
        <v>0</v>
      </c>
      <c r="G22" s="10" t="n">
        <f aca="false">COUNTIF(Checklist!$D$38:$D$39,"Not checked")</f>
        <v>0</v>
      </c>
    </row>
    <row r="23" customFormat="false" ht="15" hidden="false" customHeight="true" outlineLevel="0" collapsed="false">
      <c r="B23" s="9" t="s">
        <v>23</v>
      </c>
      <c r="C23" s="10" t="n">
        <v>2</v>
      </c>
      <c r="D23" s="10" t="n">
        <f aca="false">COUNTIF(Checklist!$D$41:$D$42,"Yes")</f>
        <v>0</v>
      </c>
      <c r="E23" s="10" t="n">
        <f aca="false">COUNTIF(Checklist!$D$41:$D$42,"No")</f>
        <v>0</v>
      </c>
      <c r="F23" s="10" t="n">
        <f aca="false">COUNTIF(Checklist!$D$41:$D$42,"Partly")</f>
        <v>0</v>
      </c>
      <c r="G23" s="10" t="n">
        <f aca="false">COUNTIF(Checklist!$D$41:$D$42,"Not checked")</f>
        <v>0</v>
      </c>
    </row>
    <row r="24" customFormat="false" ht="15" hidden="false" customHeight="true" outlineLevel="0" collapsed="false">
      <c r="B24" s="9" t="s">
        <v>24</v>
      </c>
      <c r="C24" s="10" t="n">
        <v>1</v>
      </c>
      <c r="D24" s="10" t="n">
        <f aca="false">COUNTIF(Checklist!$D$44,"Yes")</f>
        <v>0</v>
      </c>
      <c r="E24" s="10" t="n">
        <f aca="false">COUNTIF(Checklist!$D$44,"No")</f>
        <v>0</v>
      </c>
      <c r="F24" s="10" t="n">
        <f aca="false">COUNTIF(Checklist!$D$44,"Partly")</f>
        <v>0</v>
      </c>
      <c r="G24" s="10" t="n">
        <f aca="false">COUNTIF(Checklist!$D$44,"Not checked")</f>
        <v>1</v>
      </c>
    </row>
    <row r="25" customFormat="false" ht="15" hidden="false" customHeight="true" outlineLevel="0" collapsed="false">
      <c r="B25" s="9" t="s">
        <v>25</v>
      </c>
      <c r="C25" s="10" t="n">
        <v>2</v>
      </c>
      <c r="D25" s="10" t="n">
        <f aca="false">COUNTIF(Checklist!$D$46:$D$47,"Yes")</f>
        <v>0</v>
      </c>
      <c r="E25" s="10" t="n">
        <f aca="false">COUNTIF(Checklist!$D$46:$D$47,"No")</f>
        <v>0</v>
      </c>
      <c r="F25" s="10" t="n">
        <f aca="false">COUNTIF(Checklist!$D$46:$D$47,"Partly")</f>
        <v>0</v>
      </c>
      <c r="G25" s="10" t="n">
        <f aca="false">COUNTIF(Checklist!$D$46:$D$47,"Not checked")</f>
        <v>0</v>
      </c>
    </row>
    <row r="26" customFormat="false" ht="15" hidden="false" customHeight="true" outlineLevel="0" collapsed="false">
      <c r="B26" s="11" t="s">
        <v>26</v>
      </c>
      <c r="C26" s="12" t="n">
        <f aca="false">SUM(C15:C25)</f>
        <v>35</v>
      </c>
      <c r="D26" s="12" t="n">
        <f aca="false">SUM(D15:D25)</f>
        <v>0</v>
      </c>
      <c r="E26" s="12" t="n">
        <f aca="false">SUM(E15:E25)</f>
        <v>0</v>
      </c>
      <c r="F26" s="12" t="n">
        <f aca="false">SUM(F15:F25)</f>
        <v>0</v>
      </c>
      <c r="G26" s="12" t="n">
        <f aca="false">SUM(G15:G25)</f>
        <v>28</v>
      </c>
    </row>
  </sheetData>
  <mergeCells count="2">
    <mergeCell ref="C5:D5"/>
    <mergeCell ref="C6:D6"/>
  </mergeCells>
  <conditionalFormatting sqref="D15:D25">
    <cfRule type="cellIs" priority="2" operator="greaterThan" aboveAverage="0" equalAverage="0" bottom="0" percent="0" rank="0" text="" dxfId="0">
      <formula>0</formula>
    </cfRule>
  </conditionalFormatting>
  <conditionalFormatting sqref="E15:E25">
    <cfRule type="cellIs" priority="3" operator="greaterThan" aboveAverage="0" equalAverage="0" bottom="0" percent="0" rank="0" text="" dxfId="1">
      <formula>0</formula>
    </cfRule>
  </conditionalFormatting>
  <conditionalFormatting sqref="F15:F25">
    <cfRule type="cellIs" priority="4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false" showRowColHeaders="true" showZeros="true" rightToLeft="false" tabSelected="tru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I16" activeCellId="0" sqref="I16"/>
    </sheetView>
  </sheetViews>
  <sheetFormatPr defaultColWidth="8.433593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58"/>
    <col collapsed="false" customWidth="true" hidden="false" outlineLevel="0" max="4" min="4" style="1" width="15"/>
    <col collapsed="false" customWidth="true" hidden="false" outlineLevel="0" max="5" min="5" style="1" width="50"/>
    <col collapsed="false" customWidth="true" hidden="false" outlineLevel="0" max="7" min="7" style="1" width="20.85"/>
    <col collapsed="false" customWidth="true" hidden="false" outlineLevel="0" max="8" min="8" style="1" width="32.95"/>
    <col collapsed="false" customWidth="true" hidden="false" outlineLevel="0" max="9" min="9" style="0" width="29.72"/>
    <col collapsed="false" customWidth="true" hidden="false" outlineLevel="0" max="10" min="10" style="0" width="34.08"/>
    <col collapsed="false" customWidth="true" hidden="false" outlineLevel="0" max="11" min="11" style="0" width="37.47"/>
    <col collapsed="false" customWidth="false" hidden="true" outlineLevel="0" max="13" min="12" style="0" width="8.43"/>
  </cols>
  <sheetData>
    <row r="1" customFormat="false" ht="24" hidden="false" customHeight="true" outlineLevel="0" collapsed="false">
      <c r="A1" s="12" t="s">
        <v>27</v>
      </c>
      <c r="B1" s="12" t="s">
        <v>28</v>
      </c>
      <c r="C1" s="12" t="s">
        <v>29</v>
      </c>
      <c r="D1" s="12" t="s">
        <v>30</v>
      </c>
      <c r="E1" s="12" t="s">
        <v>31</v>
      </c>
    </row>
    <row r="2" customFormat="false" ht="21.75" hidden="false" customHeight="true" outlineLevel="0" collapsed="false">
      <c r="A2" s="13" t="s">
        <v>15</v>
      </c>
      <c r="B2" s="13"/>
      <c r="C2" s="13"/>
      <c r="D2" s="13"/>
      <c r="E2" s="13"/>
      <c r="G2" s="14" t="s">
        <v>32</v>
      </c>
      <c r="H2" s="14"/>
      <c r="I2" s="14"/>
      <c r="J2" s="14"/>
      <c r="K2" s="14"/>
      <c r="L2" s="14"/>
      <c r="M2" s="14"/>
    </row>
    <row r="3" customFormat="false" ht="30" hidden="false" customHeight="true" outlineLevel="0" collapsed="false">
      <c r="A3" s="10" t="n">
        <v>1</v>
      </c>
      <c r="B3" s="15" t="s">
        <v>33</v>
      </c>
      <c r="C3" s="16" t="s">
        <v>34</v>
      </c>
      <c r="D3" s="10" t="s">
        <v>14</v>
      </c>
      <c r="E3" s="16"/>
      <c r="G3" s="17" t="s">
        <v>35</v>
      </c>
      <c r="H3" s="17" t="s">
        <v>36</v>
      </c>
      <c r="I3" s="17" t="s">
        <v>37</v>
      </c>
      <c r="J3" s="17" t="s">
        <v>38</v>
      </c>
    </row>
    <row r="4" customFormat="false" ht="30" hidden="false" customHeight="true" outlineLevel="0" collapsed="false">
      <c r="A4" s="10" t="n">
        <v>2</v>
      </c>
      <c r="B4" s="15" t="s">
        <v>39</v>
      </c>
      <c r="C4" s="16" t="s">
        <v>40</v>
      </c>
      <c r="D4" s="10" t="s">
        <v>14</v>
      </c>
      <c r="E4" s="16"/>
      <c r="G4" s="18" t="s">
        <v>41</v>
      </c>
      <c r="H4" s="19" t="s">
        <v>42</v>
      </c>
      <c r="I4" s="20" t="s">
        <v>43</v>
      </c>
      <c r="J4" s="18" t="s">
        <v>41</v>
      </c>
    </row>
    <row r="5" customFormat="false" ht="30" hidden="false" customHeight="true" outlineLevel="0" collapsed="false">
      <c r="A5" s="10" t="n">
        <v>3</v>
      </c>
      <c r="B5" s="15" t="s">
        <v>44</v>
      </c>
      <c r="C5" s="16" t="s">
        <v>45</v>
      </c>
      <c r="D5" s="10" t="s">
        <v>14</v>
      </c>
      <c r="E5" s="16"/>
      <c r="G5" s="18" t="s">
        <v>46</v>
      </c>
      <c r="H5" s="19" t="s">
        <v>47</v>
      </c>
      <c r="I5" s="19" t="s">
        <v>43</v>
      </c>
      <c r="J5" s="18" t="s">
        <v>48</v>
      </c>
    </row>
    <row r="6" customFormat="false" ht="30" hidden="false" customHeight="true" outlineLevel="0" collapsed="false">
      <c r="A6" s="10" t="n">
        <v>4</v>
      </c>
      <c r="B6" s="15" t="s">
        <v>49</v>
      </c>
      <c r="C6" s="16" t="s">
        <v>50</v>
      </c>
      <c r="D6" s="10" t="s">
        <v>14</v>
      </c>
      <c r="E6" s="16"/>
      <c r="G6" s="18" t="s">
        <v>51</v>
      </c>
      <c r="H6" s="19" t="s">
        <v>52</v>
      </c>
      <c r="I6" s="19" t="s">
        <v>43</v>
      </c>
      <c r="J6" s="18" t="s">
        <v>48</v>
      </c>
    </row>
    <row r="7" customFormat="false" ht="21.75" hidden="false" customHeight="true" outlineLevel="0" collapsed="false">
      <c r="A7" s="13" t="s">
        <v>16</v>
      </c>
      <c r="B7" s="13"/>
      <c r="C7" s="13"/>
      <c r="D7" s="13"/>
      <c r="E7" s="13"/>
      <c r="G7" s="18" t="s">
        <v>53</v>
      </c>
      <c r="H7" s="19" t="s">
        <v>54</v>
      </c>
      <c r="I7" s="19" t="s">
        <v>43</v>
      </c>
      <c r="J7" s="18" t="s">
        <v>48</v>
      </c>
    </row>
    <row r="8" customFormat="false" ht="30" hidden="false" customHeight="true" outlineLevel="0" collapsed="false">
      <c r="A8" s="10" t="n">
        <v>5</v>
      </c>
      <c r="B8" s="15" t="s">
        <v>55</v>
      </c>
      <c r="C8" s="16" t="s">
        <v>56</v>
      </c>
      <c r="D8" s="10" t="s">
        <v>14</v>
      </c>
      <c r="E8" s="16"/>
      <c r="G8" s="18" t="s">
        <v>57</v>
      </c>
      <c r="H8" s="19" t="s">
        <v>58</v>
      </c>
      <c r="I8" s="19" t="s">
        <v>43</v>
      </c>
      <c r="J8" s="18" t="s">
        <v>48</v>
      </c>
    </row>
    <row r="9" customFormat="false" ht="30" hidden="false" customHeight="true" outlineLevel="0" collapsed="false">
      <c r="A9" s="10" t="n">
        <v>6</v>
      </c>
      <c r="B9" s="15" t="s">
        <v>59</v>
      </c>
      <c r="C9" s="16" t="s">
        <v>60</v>
      </c>
      <c r="D9" s="10" t="s">
        <v>14</v>
      </c>
      <c r="E9" s="16"/>
      <c r="G9" s="18" t="s">
        <v>61</v>
      </c>
      <c r="H9" s="19" t="s">
        <v>62</v>
      </c>
      <c r="I9" s="19" t="s">
        <v>43</v>
      </c>
      <c r="J9" s="18" t="s">
        <v>48</v>
      </c>
    </row>
    <row r="10" customFormat="false" ht="21.75" hidden="false" customHeight="true" outlineLevel="0" collapsed="false">
      <c r="A10" s="13" t="s">
        <v>17</v>
      </c>
      <c r="B10" s="13"/>
      <c r="C10" s="13"/>
      <c r="D10" s="13"/>
      <c r="E10" s="13"/>
      <c r="G10" s="18" t="s">
        <v>63</v>
      </c>
      <c r="H10" s="19" t="s">
        <v>64</v>
      </c>
      <c r="I10" s="19" t="s">
        <v>43</v>
      </c>
      <c r="J10" s="18" t="s">
        <v>48</v>
      </c>
    </row>
    <row r="11" customFormat="false" ht="30" hidden="false" customHeight="true" outlineLevel="0" collapsed="false">
      <c r="A11" s="10" t="n">
        <v>7</v>
      </c>
      <c r="B11" s="15" t="s">
        <v>65</v>
      </c>
      <c r="C11" s="16" t="s">
        <v>66</v>
      </c>
      <c r="D11" s="10" t="s">
        <v>14</v>
      </c>
      <c r="E11" s="16"/>
      <c r="G11" s="18" t="s">
        <v>67</v>
      </c>
      <c r="H11" s="19" t="s">
        <v>68</v>
      </c>
      <c r="I11" s="19" t="s">
        <v>43</v>
      </c>
      <c r="J11" s="18" t="s">
        <v>67</v>
      </c>
    </row>
    <row r="12" customFormat="false" ht="30" hidden="false" customHeight="true" outlineLevel="0" collapsed="false">
      <c r="A12" s="10" t="n">
        <v>8</v>
      </c>
      <c r="B12" s="15" t="s">
        <v>69</v>
      </c>
      <c r="C12" s="16" t="s">
        <v>70</v>
      </c>
      <c r="D12" s="10" t="s">
        <v>14</v>
      </c>
      <c r="E12" s="16"/>
      <c r="H12" s="0"/>
    </row>
    <row r="13" customFormat="false" ht="30" hidden="false" customHeight="true" outlineLevel="0" collapsed="false">
      <c r="A13" s="10" t="n">
        <v>9</v>
      </c>
      <c r="B13" s="15" t="s">
        <v>71</v>
      </c>
      <c r="C13" s="16" t="s">
        <v>72</v>
      </c>
      <c r="D13" s="10" t="s">
        <v>14</v>
      </c>
      <c r="E13" s="16"/>
      <c r="H13" s="0"/>
    </row>
    <row r="14" customFormat="false" ht="30" hidden="false" customHeight="true" outlineLevel="0" collapsed="false">
      <c r="A14" s="10" t="n">
        <v>10</v>
      </c>
      <c r="B14" s="15" t="s">
        <v>73</v>
      </c>
      <c r="C14" s="16" t="s">
        <v>74</v>
      </c>
      <c r="D14" s="10" t="s">
        <v>14</v>
      </c>
      <c r="E14" s="16"/>
      <c r="H14" s="0"/>
    </row>
    <row r="15" customFormat="false" ht="30" hidden="false" customHeight="true" outlineLevel="0" collapsed="false">
      <c r="A15" s="10" t="n">
        <v>11</v>
      </c>
      <c r="B15" s="15" t="s">
        <v>75</v>
      </c>
      <c r="C15" s="16" t="s">
        <v>76</v>
      </c>
      <c r="D15" s="10" t="s">
        <v>14</v>
      </c>
      <c r="E15" s="16"/>
      <c r="H15" s="0"/>
    </row>
    <row r="16" customFormat="false" ht="21.75" hidden="false" customHeight="true" outlineLevel="0" collapsed="false">
      <c r="A16" s="13" t="s">
        <v>18</v>
      </c>
      <c r="B16" s="13"/>
      <c r="C16" s="13"/>
      <c r="D16" s="13"/>
      <c r="E16" s="13"/>
      <c r="H16" s="0"/>
    </row>
    <row r="17" customFormat="false" ht="30" hidden="false" customHeight="true" outlineLevel="0" collapsed="false">
      <c r="A17" s="10" t="n">
        <v>12</v>
      </c>
      <c r="B17" s="15" t="s">
        <v>77</v>
      </c>
      <c r="C17" s="16" t="s">
        <v>78</v>
      </c>
      <c r="D17" s="10" t="s">
        <v>14</v>
      </c>
      <c r="E17" s="16"/>
      <c r="H17" s="0"/>
    </row>
    <row r="18" customFormat="false" ht="30" hidden="false" customHeight="true" outlineLevel="0" collapsed="false">
      <c r="E18" s="16"/>
    </row>
    <row r="19" customFormat="false" ht="21.75" hidden="false" customHeight="true" outlineLevel="0" collapsed="false">
      <c r="A19" s="13" t="s">
        <v>19</v>
      </c>
      <c r="B19" s="13"/>
      <c r="C19" s="13"/>
      <c r="D19" s="13"/>
      <c r="E19" s="13"/>
    </row>
    <row r="20" customFormat="false" ht="30" hidden="false" customHeight="true" outlineLevel="0" collapsed="false">
      <c r="A20" s="10" t="n">
        <v>14</v>
      </c>
      <c r="B20" s="15" t="s">
        <v>79</v>
      </c>
      <c r="C20" s="16" t="s">
        <v>80</v>
      </c>
      <c r="D20" s="10" t="s">
        <v>14</v>
      </c>
      <c r="E20" s="16"/>
    </row>
    <row r="21" customFormat="false" ht="30" hidden="false" customHeight="true" outlineLevel="0" collapsed="false">
      <c r="A21" s="10" t="n">
        <v>15</v>
      </c>
      <c r="B21" s="15" t="s">
        <v>81</v>
      </c>
      <c r="C21" s="16" t="s">
        <v>82</v>
      </c>
      <c r="D21" s="10" t="s">
        <v>14</v>
      </c>
      <c r="E21" s="16"/>
    </row>
    <row r="22" customFormat="false" ht="30" hidden="false" customHeight="true" outlineLevel="0" collapsed="false">
      <c r="A22" s="10" t="n">
        <v>16</v>
      </c>
      <c r="B22" s="15" t="s">
        <v>83</v>
      </c>
      <c r="C22" s="16" t="s">
        <v>84</v>
      </c>
      <c r="D22" s="10" t="s">
        <v>14</v>
      </c>
      <c r="E22" s="16"/>
    </row>
    <row r="23" customFormat="false" ht="30" hidden="false" customHeight="true" outlineLevel="0" collapsed="false">
      <c r="A23" s="10" t="n">
        <v>17</v>
      </c>
      <c r="B23" s="15" t="s">
        <v>85</v>
      </c>
      <c r="C23" s="16" t="s">
        <v>86</v>
      </c>
      <c r="D23" s="10" t="s">
        <v>14</v>
      </c>
      <c r="E23" s="16"/>
    </row>
    <row r="24" customFormat="false" ht="30" hidden="false" customHeight="true" outlineLevel="0" collapsed="false">
      <c r="A24" s="10" t="n">
        <v>18</v>
      </c>
      <c r="B24" s="15" t="s">
        <v>87</v>
      </c>
      <c r="C24" s="16" t="s">
        <v>88</v>
      </c>
      <c r="D24" s="10" t="s">
        <v>14</v>
      </c>
      <c r="E24" s="16"/>
    </row>
    <row r="25" customFormat="false" ht="21.75" hidden="false" customHeight="true" outlineLevel="0" collapsed="false">
      <c r="A25" s="13" t="s">
        <v>20</v>
      </c>
      <c r="B25" s="13"/>
      <c r="C25" s="13"/>
      <c r="D25" s="13"/>
      <c r="E25" s="13"/>
    </row>
    <row r="26" customFormat="false" ht="30" hidden="false" customHeight="true" outlineLevel="0" collapsed="false">
      <c r="A26" s="10" t="n">
        <v>19</v>
      </c>
      <c r="B26" s="15" t="s">
        <v>89</v>
      </c>
      <c r="C26" s="16" t="s">
        <v>90</v>
      </c>
      <c r="D26" s="10" t="s">
        <v>14</v>
      </c>
      <c r="E26" s="16"/>
    </row>
    <row r="27" customFormat="false" ht="30" hidden="false" customHeight="true" outlineLevel="0" collapsed="false">
      <c r="A27" s="10" t="n">
        <v>20</v>
      </c>
      <c r="B27" s="15" t="s">
        <v>91</v>
      </c>
      <c r="C27" s="16" t="s">
        <v>92</v>
      </c>
      <c r="D27" s="10" t="s">
        <v>14</v>
      </c>
      <c r="E27" s="16"/>
    </row>
    <row r="28" customFormat="false" ht="30" hidden="false" customHeight="true" outlineLevel="0" collapsed="false">
      <c r="A28" s="10" t="n">
        <v>21</v>
      </c>
      <c r="B28" s="15" t="s">
        <v>93</v>
      </c>
      <c r="C28" s="16" t="s">
        <v>94</v>
      </c>
      <c r="D28" s="10" t="s">
        <v>14</v>
      </c>
      <c r="E28" s="16"/>
    </row>
    <row r="29" customFormat="false" ht="30" hidden="false" customHeight="true" outlineLevel="0" collapsed="false">
      <c r="A29" s="10" t="n">
        <v>22</v>
      </c>
      <c r="B29" s="15" t="s">
        <v>95</v>
      </c>
      <c r="C29" s="16" t="s">
        <v>96</v>
      </c>
      <c r="D29" s="10" t="s">
        <v>14</v>
      </c>
      <c r="E29" s="16"/>
    </row>
    <row r="30" customFormat="false" ht="30" hidden="false" customHeight="true" outlineLevel="0" collapsed="false">
      <c r="A30" s="10" t="n">
        <v>23</v>
      </c>
      <c r="B30" s="15" t="s">
        <v>97</v>
      </c>
      <c r="C30" s="16" t="s">
        <v>98</v>
      </c>
      <c r="D30" s="10" t="s">
        <v>14</v>
      </c>
      <c r="E30" s="16"/>
    </row>
    <row r="31" customFormat="false" ht="30" hidden="false" customHeight="true" outlineLevel="0" collapsed="false">
      <c r="A31" s="10" t="n">
        <v>24</v>
      </c>
      <c r="B31" s="15" t="s">
        <v>99</v>
      </c>
      <c r="C31" s="16" t="s">
        <v>100</v>
      </c>
      <c r="D31" s="10" t="s">
        <v>14</v>
      </c>
      <c r="E31" s="16"/>
    </row>
    <row r="32" customFormat="false" ht="30" hidden="false" customHeight="true" outlineLevel="0" collapsed="false">
      <c r="A32" s="10" t="n">
        <v>25</v>
      </c>
      <c r="B32" s="15" t="s">
        <v>101</v>
      </c>
      <c r="C32" s="16" t="s">
        <v>102</v>
      </c>
      <c r="D32" s="10" t="s">
        <v>14</v>
      </c>
      <c r="E32" s="16"/>
    </row>
    <row r="33" customFormat="false" ht="30" hidden="false" customHeight="true" outlineLevel="0" collapsed="false">
      <c r="A33" s="10" t="n">
        <v>26</v>
      </c>
      <c r="B33" s="15" t="s">
        <v>103</v>
      </c>
      <c r="C33" s="16" t="s">
        <v>104</v>
      </c>
      <c r="D33" s="10" t="s">
        <v>14</v>
      </c>
      <c r="E33" s="16"/>
    </row>
    <row r="34" customFormat="false" ht="21.75" hidden="false" customHeight="true" outlineLevel="0" collapsed="false">
      <c r="A34" s="13" t="s">
        <v>21</v>
      </c>
      <c r="B34" s="13"/>
      <c r="C34" s="13"/>
      <c r="D34" s="13"/>
      <c r="E34" s="13"/>
    </row>
    <row r="35" customFormat="false" ht="30" hidden="false" customHeight="true" outlineLevel="0" collapsed="false">
      <c r="A35" s="10" t="n">
        <v>27</v>
      </c>
      <c r="B35" s="15" t="s">
        <v>105</v>
      </c>
      <c r="C35" s="16" t="s">
        <v>106</v>
      </c>
      <c r="D35" s="10" t="s">
        <v>14</v>
      </c>
      <c r="E35" s="16"/>
    </row>
    <row r="36" customFormat="false" ht="30" hidden="false" customHeight="true" outlineLevel="0" collapsed="false">
      <c r="A36" s="10" t="n">
        <v>28</v>
      </c>
      <c r="B36" s="15" t="s">
        <v>107</v>
      </c>
      <c r="C36" s="16" t="s">
        <v>108</v>
      </c>
      <c r="D36" s="10" t="s">
        <v>14</v>
      </c>
      <c r="E36" s="16"/>
    </row>
    <row r="37" customFormat="false" ht="21.75" hidden="false" customHeight="true" outlineLevel="0" collapsed="false"/>
    <row r="38" customFormat="false" ht="30" hidden="false" customHeight="true" outlineLevel="0" collapsed="false"/>
    <row r="39" customFormat="false" ht="30" hidden="false" customHeight="true" outlineLevel="0" collapsed="false"/>
    <row r="40" customFormat="false" ht="21.75" hidden="false" customHeight="true" outlineLevel="0" collapsed="false"/>
    <row r="41" customFormat="false" ht="30" hidden="false" customHeight="true" outlineLevel="0" collapsed="false"/>
    <row r="42" customFormat="false" ht="30" hidden="false" customHeight="true" outlineLevel="0" collapsed="false"/>
    <row r="43" customFormat="false" ht="21.75" hidden="false" customHeight="true" outlineLevel="0" collapsed="false">
      <c r="A43" s="13" t="s">
        <v>24</v>
      </c>
      <c r="B43" s="13"/>
      <c r="C43" s="13"/>
      <c r="D43" s="13"/>
      <c r="E43" s="13"/>
    </row>
    <row r="44" customFormat="false" ht="30" hidden="false" customHeight="true" outlineLevel="0" collapsed="false">
      <c r="A44" s="10" t="n">
        <v>33</v>
      </c>
      <c r="B44" s="15" t="s">
        <v>109</v>
      </c>
      <c r="C44" s="16" t="s">
        <v>110</v>
      </c>
      <c r="D44" s="10" t="s">
        <v>14</v>
      </c>
      <c r="E44" s="16"/>
    </row>
    <row r="45" customFormat="false" ht="21.75" hidden="false" customHeight="true" outlineLevel="0" collapsed="false"/>
    <row r="46" customFormat="false" ht="30" hidden="false" customHeight="true" outlineLevel="0" collapsed="false"/>
    <row r="47" customFormat="false" ht="30" hidden="false" customHeight="true" outlineLevel="0" collapsed="false"/>
  </sheetData>
  <mergeCells count="9">
    <mergeCell ref="A2:E2"/>
    <mergeCell ref="G2:M2"/>
    <mergeCell ref="A7:E7"/>
    <mergeCell ref="A10:E10"/>
    <mergeCell ref="A16:E16"/>
    <mergeCell ref="A19:E19"/>
    <mergeCell ref="A25:E25"/>
    <mergeCell ref="A34:E34"/>
    <mergeCell ref="A43:E43"/>
  </mergeCells>
  <conditionalFormatting sqref="D2 D7 D10 D16 D19:D36 D43:D44">
    <cfRule type="cellIs" priority="2" operator="equal" aboveAverage="0" equalAverage="0" bottom="0" percent="0" rank="0" text="" dxfId="3">
      <formula>"Yes"</formula>
    </cfRule>
    <cfRule type="cellIs" priority="3" operator="equal" aboveAverage="0" equalAverage="0" bottom="0" percent="0" rank="0" text="" dxfId="4">
      <formula>"No"</formula>
    </cfRule>
    <cfRule type="cellIs" priority="4" operator="equal" aboveAverage="0" equalAverage="0" bottom="0" percent="0" rank="0" text="" dxfId="5">
      <formula>"Partly"</formula>
    </cfRule>
    <cfRule type="cellIs" priority="5" operator="equal" aboveAverage="0" equalAverage="0" bottom="0" percent="0" rank="0" text="" dxfId="6">
      <formula>"Not checked"</formula>
    </cfRule>
  </conditionalFormatting>
  <conditionalFormatting sqref="D17">
    <cfRule type="cellIs" priority="6" operator="equal" aboveAverage="0" equalAverage="0" bottom="0" percent="0" rank="0" text="" dxfId="3">
      <formula>"Yes"</formula>
    </cfRule>
    <cfRule type="cellIs" priority="7" operator="equal" aboveAverage="0" equalAverage="0" bottom="0" percent="0" rank="0" text="" dxfId="4">
      <formula>"No"</formula>
    </cfRule>
    <cfRule type="cellIs" priority="8" operator="equal" aboveAverage="0" equalAverage="0" bottom="0" percent="0" rank="0" text="" dxfId="5">
      <formula>"Partly"</formula>
    </cfRule>
    <cfRule type="cellIs" priority="9" operator="equal" aboveAverage="0" equalAverage="0" bottom="0" percent="0" rank="0" text="" dxfId="6">
      <formula>"Not checked"</formula>
    </cfRule>
  </conditionalFormatting>
  <conditionalFormatting sqref="D11:D15">
    <cfRule type="cellIs" priority="10" operator="equal" aboveAverage="0" equalAverage="0" bottom="0" percent="0" rank="0" text="" dxfId="3">
      <formula>"Yes"</formula>
    </cfRule>
    <cfRule type="cellIs" priority="11" operator="equal" aboveAverage="0" equalAverage="0" bottom="0" percent="0" rank="0" text="" dxfId="4">
      <formula>"No"</formula>
    </cfRule>
    <cfRule type="cellIs" priority="12" operator="equal" aboveAverage="0" equalAverage="0" bottom="0" percent="0" rank="0" text="" dxfId="5">
      <formula>"Partly"</formula>
    </cfRule>
    <cfRule type="cellIs" priority="13" operator="equal" aboveAverage="0" equalAverage="0" bottom="0" percent="0" rank="0" text="" dxfId="6">
      <formula>"Not checked"</formula>
    </cfRule>
  </conditionalFormatting>
  <conditionalFormatting sqref="D8:D9">
    <cfRule type="cellIs" priority="14" operator="equal" aboveAverage="0" equalAverage="0" bottom="0" percent="0" rank="0" text="" dxfId="3">
      <formula>"Yes"</formula>
    </cfRule>
    <cfRule type="cellIs" priority="15" operator="equal" aboveAverage="0" equalAverage="0" bottom="0" percent="0" rank="0" text="" dxfId="4">
      <formula>"No"</formula>
    </cfRule>
    <cfRule type="cellIs" priority="16" operator="equal" aboveAverage="0" equalAverage="0" bottom="0" percent="0" rank="0" text="" dxfId="5">
      <formula>"Partly"</formula>
    </cfRule>
    <cfRule type="cellIs" priority="17" operator="equal" aboveAverage="0" equalAverage="0" bottom="0" percent="0" rank="0" text="" dxfId="6">
      <formula>"Not checked"</formula>
    </cfRule>
  </conditionalFormatting>
  <conditionalFormatting sqref="D3:D6">
    <cfRule type="cellIs" priority="18" operator="equal" aboveAverage="0" equalAverage="0" bottom="0" percent="0" rank="0" text="" dxfId="3">
      <formula>"Yes"</formula>
    </cfRule>
    <cfRule type="cellIs" priority="19" operator="equal" aboveAverage="0" equalAverage="0" bottom="0" percent="0" rank="0" text="" dxfId="4">
      <formula>"No"</formula>
    </cfRule>
    <cfRule type="cellIs" priority="20" operator="equal" aboveAverage="0" equalAverage="0" bottom="0" percent="0" rank="0" text="" dxfId="5">
      <formula>"Partly"</formula>
    </cfRule>
    <cfRule type="cellIs" priority="21" operator="equal" aboveAverage="0" equalAverage="0" bottom="0" percent="0" rank="0" text="" dxfId="6">
      <formula>"Not checked"</formula>
    </cfRule>
  </conditionalFormatting>
  <dataValidations count="1">
    <dataValidation allowBlank="true" errorStyle="stop" operator="between" showDropDown="false" showErrorMessage="false" showInputMessage="false" sqref="D2:D17 D19:D36 D43:D44" type="list">
      <formula1>"Yes,No,Partly,Not checked"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2026-07-07T07:15:21Z</dcterms:created>
  <dc:creator>openpyxl</dc:creator>
  <dc:description/>
  <dc:language>en-IN</dc:language>
  <cp:lastModifiedBy/>
  <dcterms:modified xsi:type="dcterms:W3CDTF">2026-07-07T13:17:42Z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